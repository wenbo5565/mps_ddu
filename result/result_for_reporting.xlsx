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Research\gw_ddu_mps\result\"/>
    </mc:Choice>
  </mc:AlternateContent>
  <xr:revisionPtr revIDLastSave="0" documentId="13_ncr:1_{8EB08F16-E84E-4EF2-85D4-709FB46F4CCA}" xr6:coauthVersionLast="47" xr6:coauthVersionMax="47" xr10:uidLastSave="{00000000-0000-0000-0000-000000000000}"/>
  <bookViews>
    <workbookView xWindow="-19310" yWindow="-110" windowWidth="19420" windowHeight="11500" firstSheet="2" activeTab="5" xr2:uid="{00000000-000D-0000-FFFF-FFFF00000000}"/>
  </bookViews>
  <sheets>
    <sheet name="Comp Efficiency - Individual" sheetId="1" r:id="rId1"/>
    <sheet name="Comp Efficiency - Joint" sheetId="2" r:id="rId2"/>
    <sheet name="Value of DDU" sheetId="3" r:id="rId3"/>
    <sheet name="Number of MPS" sheetId="4" r:id="rId4"/>
    <sheet name="MPS Capacity" sheetId="5" r:id="rId5"/>
    <sheet name="Impact of C_j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E13" i="6"/>
  <c r="E12" i="6"/>
  <c r="E11" i="6"/>
  <c r="E10" i="6"/>
  <c r="E9" i="6"/>
  <c r="E8" i="6"/>
  <c r="E7" i="6"/>
  <c r="E6" i="6"/>
  <c r="E5" i="6"/>
  <c r="D14" i="6"/>
  <c r="D13" i="6"/>
  <c r="D12" i="6"/>
  <c r="D11" i="6"/>
  <c r="D10" i="6"/>
  <c r="D9" i="6"/>
  <c r="D8" i="6"/>
  <c r="D7" i="6"/>
  <c r="D6" i="6"/>
  <c r="D5" i="6"/>
  <c r="D4" i="6"/>
  <c r="E4" i="6" s="1"/>
  <c r="N38" i="3"/>
  <c r="N37" i="3"/>
  <c r="N36" i="3"/>
  <c r="N35" i="3"/>
  <c r="N34" i="3"/>
  <c r="M38" i="3"/>
  <c r="M37" i="3"/>
  <c r="M36" i="3"/>
  <c r="M35" i="3"/>
  <c r="M34" i="3"/>
  <c r="N26" i="3"/>
  <c r="N27" i="3"/>
  <c r="N28" i="3"/>
  <c r="N29" i="3"/>
  <c r="N30" i="3"/>
  <c r="M26" i="3"/>
  <c r="M27" i="3"/>
  <c r="M28" i="3"/>
  <c r="M29" i="3"/>
  <c r="M30" i="3"/>
  <c r="F34" i="3"/>
  <c r="F35" i="3"/>
  <c r="F36" i="3"/>
  <c r="F37" i="3"/>
  <c r="F38" i="3"/>
  <c r="F33" i="3"/>
  <c r="F25" i="3"/>
  <c r="F26" i="3"/>
  <c r="F27" i="3"/>
  <c r="F28" i="3"/>
  <c r="F29" i="3"/>
  <c r="F30" i="3"/>
  <c r="H2" i="5"/>
  <c r="N11" i="3"/>
  <c r="N12" i="3"/>
  <c r="N13" i="3"/>
  <c r="N14" i="3"/>
  <c r="N10" i="3"/>
  <c r="O14" i="3"/>
  <c r="O13" i="3"/>
  <c r="O12" i="3"/>
  <c r="O11" i="3"/>
  <c r="O10" i="3"/>
  <c r="G11" i="4"/>
  <c r="G10" i="4"/>
  <c r="G9" i="4"/>
  <c r="G8" i="4"/>
  <c r="G7" i="4"/>
  <c r="G6" i="4"/>
  <c r="G5" i="4"/>
  <c r="G4" i="4"/>
  <c r="G3" i="4"/>
  <c r="G2" i="4"/>
  <c r="F22" i="3"/>
  <c r="F21" i="3"/>
  <c r="F20" i="3"/>
  <c r="F19" i="3"/>
  <c r="F18" i="3"/>
  <c r="F17" i="3"/>
  <c r="F14" i="3"/>
  <c r="F13" i="3"/>
  <c r="F12" i="3"/>
  <c r="F11" i="3"/>
  <c r="F10" i="3"/>
  <c r="F9" i="3"/>
  <c r="F2" i="3"/>
  <c r="F7" i="3"/>
  <c r="F6" i="3"/>
  <c r="F5" i="3"/>
  <c r="F4" i="3"/>
  <c r="F3" i="3"/>
  <c r="E21" i="2"/>
  <c r="E14" i="2"/>
  <c r="E56" i="2"/>
  <c r="G56" i="2"/>
  <c r="G63" i="2"/>
  <c r="E63" i="2"/>
  <c r="G49" i="2"/>
  <c r="G42" i="2"/>
  <c r="D21" i="2"/>
  <c r="D28" i="2"/>
  <c r="D35" i="2"/>
  <c r="D42" i="2"/>
  <c r="D14" i="2"/>
  <c r="C7" i="2"/>
  <c r="C14" i="2"/>
  <c r="E49" i="2"/>
  <c r="E42" i="2"/>
  <c r="C42" i="2"/>
  <c r="E35" i="2"/>
  <c r="C35" i="2"/>
  <c r="E28" i="2"/>
  <c r="C28" i="2"/>
  <c r="C21" i="2"/>
  <c r="E7" i="2"/>
  <c r="C49" i="1"/>
  <c r="C42" i="1"/>
  <c r="C35" i="1"/>
  <c r="C28" i="1"/>
  <c r="E21" i="1"/>
  <c r="E14" i="1"/>
  <c r="E7" i="1"/>
  <c r="C21" i="1"/>
  <c r="C14" i="1"/>
  <c r="C7" i="1"/>
  <c r="E28" i="1"/>
  <c r="E49" i="1"/>
  <c r="E35" i="1"/>
  <c r="E42" i="1"/>
</calcChain>
</file>

<file path=xl/sharedStrings.xml><?xml version="1.0" encoding="utf-8"?>
<sst xmlns="http://schemas.openxmlformats.org/spreadsheetml/2006/main" count="147" uniqueCount="42">
  <si>
    <t>Instance 1</t>
  </si>
  <si>
    <t>Instance 2</t>
  </si>
  <si>
    <t>Instance 3</t>
  </si>
  <si>
    <t>Instance 4</t>
  </si>
  <si>
    <t>Instance 5</t>
  </si>
  <si>
    <t>Average</t>
  </si>
  <si>
    <t>Number of Scenarios</t>
  </si>
  <si>
    <t>optimality gap if not optimal within 1 hour</t>
  </si>
  <si>
    <t>Instance</t>
  </si>
  <si>
    <t>S-DDI</t>
  </si>
  <si>
    <t>B-DDI</t>
  </si>
  <si>
    <t>S-DDJ</t>
  </si>
  <si>
    <t>B-DDJ</t>
  </si>
  <si>
    <t>Node Reliability</t>
  </si>
  <si>
    <t>D-DII</t>
  </si>
  <si>
    <t>Line Reliability</t>
  </si>
  <si>
    <t>%</t>
  </si>
  <si>
    <t>C</t>
  </si>
  <si>
    <t>M</t>
  </si>
  <si>
    <t>Formatted</t>
  </si>
  <si>
    <t>Line</t>
  </si>
  <si>
    <t>Z^I</t>
  </si>
  <si>
    <t>Z^D</t>
  </si>
  <si>
    <t>Column</t>
  </si>
  <si>
    <t>Difference</t>
  </si>
  <si>
    <t>Capacity</t>
  </si>
  <si>
    <t>100, 300, 300, 300, 300, 300</t>
  </si>
  <si>
    <t>100, 100, 100, 100, 100, 300</t>
  </si>
  <si>
    <t>100, 100, 100, 100, 300, 300</t>
  </si>
  <si>
    <t>100, 100, 100, 300, 300, 300</t>
  </si>
  <si>
    <t>100, 100, 300, 300, 300, 300</t>
  </si>
  <si>
    <t>300, 300, 300, 300, 300, 500</t>
  </si>
  <si>
    <t>300, 300, 300, 300, 500, 500</t>
  </si>
  <si>
    <t>300, 300, 300, 500, 500, 500</t>
  </si>
  <si>
    <t>300, 300, 500, 500, 500, 500</t>
  </si>
  <si>
    <t>300, 500, 500, 500, 500, 500</t>
  </si>
  <si>
    <t>mps capacity 300</t>
  </si>
  <si>
    <t>mps capacity 100</t>
  </si>
  <si>
    <t>alpha</t>
  </si>
  <si>
    <t>c_j</t>
  </si>
  <si>
    <t>Z^I - Z^D</t>
  </si>
  <si>
    <t>(Z^I - Z^D) / Z^I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</si>
</sst>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0" applyNumberFormat="1"/>
    <xf numFmtId="10" fontId="0" fillId="0" borderId="0" xfId="0" applyNumberFormat="1"/>
    <xf numFmtId="0" fontId="0" fillId="2" borderId="0" xfId="0" applyFill="1"/>
    <xf numFmtId="10" fontId="0" fillId="2" borderId="0" xfId="1" applyNumberFormat="1" applyFont="1" applyFill="1"/>
    <xf numFmtId="9" fontId="0" fillId="2" borderId="0" xfId="1" applyFont="1" applyFill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3" borderId="0" xfId="0" applyFill="1"/>
    <xf numFmtId="9" fontId="0" fillId="0" borderId="0" xfId="1" applyFont="1"/>
    <xf numFmtId="0" fontId="0" fillId="4" borderId="0" xfId="0" applyFill="1"/>
    <xf numFmtId="0" fontId="0" fillId="5" borderId="0" xfId="0" applyFill="1"/>
    <xf numFmtId="164" fontId="0" fillId="0" borderId="0" xfId="1" applyNumberFormat="1" applyFont="1"/>
    <xf numFmtId="10" fontId="0" fillId="0" borderId="0" xfId="1" applyNumberFormat="1" applyFont="1"/>
    <xf numFmtId="0" fontId="0" fillId="6" borderId="0" xfId="0" applyFill="1"/>
    <xf numFmtId="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'Impact of C_j'!$A$4:$A$14</c:f>
              <c:numCache>
                <c:formatCode>General</c:formatCode>
                <c:ptCount val="11"/>
                <c:pt idx="0">
                  <c:v>0.18</c:v>
                </c:pt>
                <c:pt idx="1">
                  <c:v>0.17</c:v>
                </c:pt>
                <c:pt idx="2">
                  <c:v>0.16</c:v>
                </c:pt>
                <c:pt idx="3">
                  <c:v>0.15</c:v>
                </c:pt>
                <c:pt idx="4">
                  <c:v>0.14000000000000001</c:v>
                </c:pt>
                <c:pt idx="5">
                  <c:v>0.13</c:v>
                </c:pt>
                <c:pt idx="6">
                  <c:v>0.12</c:v>
                </c:pt>
                <c:pt idx="7">
                  <c:v>0.11</c:v>
                </c:pt>
                <c:pt idx="8">
                  <c:v>0.1</c:v>
                </c:pt>
                <c:pt idx="9">
                  <c:v>0.09</c:v>
                </c:pt>
                <c:pt idx="10">
                  <c:v>0.08</c:v>
                </c:pt>
              </c:numCache>
            </c:numRef>
          </c:xVal>
          <c:yVal>
            <c:numRef>
              <c:f>'Impact of C_j'!$E$4:$E$14</c:f>
              <c:numCache>
                <c:formatCode>0%</c:formatCode>
                <c:ptCount val="11"/>
                <c:pt idx="0">
                  <c:v>0.25480971773627298</c:v>
                </c:pt>
                <c:pt idx="1">
                  <c:v>0.21759584328043813</c:v>
                </c:pt>
                <c:pt idx="2">
                  <c:v>0.21759584328043813</c:v>
                </c:pt>
                <c:pt idx="3">
                  <c:v>0.19674203061367784</c:v>
                </c:pt>
                <c:pt idx="4">
                  <c:v>9.9424238168796517E-2</c:v>
                </c:pt>
                <c:pt idx="5">
                  <c:v>6.0174132846510318E-2</c:v>
                </c:pt>
                <c:pt idx="6">
                  <c:v>6.024434770397416E-2</c:v>
                </c:pt>
                <c:pt idx="7">
                  <c:v>6.024434770397416E-2</c:v>
                </c:pt>
                <c:pt idx="8">
                  <c:v>6.024434770397416E-2</c:v>
                </c:pt>
                <c:pt idx="9">
                  <c:v>1.6640921218929926E-2</c:v>
                </c:pt>
                <c:pt idx="10">
                  <c:v>2.17666058137902E-3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D3-486F-B1DF-17CB6302C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255807"/>
        <c:axId val="662260127"/>
      </c:scatterChart>
      <c:valAx>
        <c:axId val="662255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260127"/>
        <c:crosses val="autoZero"/>
        <c:crossBetween val="midCat"/>
      </c:valAx>
      <c:valAx>
        <c:axId val="66226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255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549274</xdr:colOff>
      <xdr:row>1</xdr:row>
      <xdr:rowOff>151130</xdr:rowOff>
    </xdr:from>
    <xdr:to>
      <xdr:col>15</xdr:col>
      <xdr:colOff>388619</xdr:colOff>
      <xdr:row>16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AC2CE6-3F52-8368-0993-976C61EA61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1"/>
  <sheetViews>
    <sheetView zoomScale="90" zoomScaleNormal="90" workbookViewId="0">
      <selection activeCell="E2" sqref="E2"/>
    </sheetView>
  </sheetViews>
  <sheetFormatPr defaultRowHeight="14.4" x14ac:dyDescent="0.3"/>
  <cols>
    <col min="1" max="1" width="18.77734375" bestFit="1" customWidth="1"/>
    <col min="2" max="2" width="25" customWidth="1"/>
    <col min="3" max="3" width="25.6640625" customWidth="1"/>
    <col min="4" max="4" width="38.21875" bestFit="1" customWidth="1"/>
    <col min="5" max="5" width="20.88671875" customWidth="1"/>
  </cols>
  <sheetData>
    <row r="1" spans="1:5" x14ac:dyDescent="0.3">
      <c r="A1" t="s">
        <v>6</v>
      </c>
      <c r="B1" t="s">
        <v>8</v>
      </c>
      <c r="C1" t="s">
        <v>9</v>
      </c>
      <c r="D1" t="s">
        <v>7</v>
      </c>
      <c r="E1" t="s">
        <v>10</v>
      </c>
    </row>
    <row r="2" spans="1:5" x14ac:dyDescent="0.3">
      <c r="A2" s="7">
        <v>25</v>
      </c>
      <c r="B2" t="s">
        <v>0</v>
      </c>
      <c r="C2">
        <v>1017</v>
      </c>
      <c r="E2">
        <v>1.6</v>
      </c>
    </row>
    <row r="3" spans="1:5" x14ac:dyDescent="0.3">
      <c r="A3" s="7">
        <v>25</v>
      </c>
      <c r="B3" t="s">
        <v>1</v>
      </c>
      <c r="C3">
        <v>118</v>
      </c>
      <c r="E3">
        <v>1.27</v>
      </c>
    </row>
    <row r="4" spans="1:5" x14ac:dyDescent="0.3">
      <c r="A4" s="7">
        <v>25</v>
      </c>
      <c r="B4" t="s">
        <v>2</v>
      </c>
      <c r="C4">
        <v>115</v>
      </c>
      <c r="E4">
        <v>1.28</v>
      </c>
    </row>
    <row r="5" spans="1:5" x14ac:dyDescent="0.3">
      <c r="A5" s="7">
        <v>25</v>
      </c>
      <c r="B5" t="s">
        <v>3</v>
      </c>
      <c r="C5">
        <v>172</v>
      </c>
      <c r="E5">
        <v>0.9</v>
      </c>
    </row>
    <row r="6" spans="1:5" x14ac:dyDescent="0.3">
      <c r="A6" s="7">
        <v>25</v>
      </c>
      <c r="B6" t="s">
        <v>4</v>
      </c>
      <c r="C6">
        <v>444</v>
      </c>
      <c r="E6">
        <v>3.01</v>
      </c>
    </row>
    <row r="7" spans="1:5" x14ac:dyDescent="0.3">
      <c r="A7" s="7">
        <v>25</v>
      </c>
      <c r="B7" s="4" t="s">
        <v>5</v>
      </c>
      <c r="C7" s="4">
        <f>AVERAGE(C2:C6)</f>
        <v>373.2</v>
      </c>
      <c r="D7" s="4"/>
      <c r="E7" s="4">
        <f>AVERAGE(E2:E6)</f>
        <v>1.6120000000000001</v>
      </c>
    </row>
    <row r="8" spans="1:5" x14ac:dyDescent="0.3">
      <c r="A8" s="1"/>
    </row>
    <row r="9" spans="1:5" x14ac:dyDescent="0.3">
      <c r="A9" s="7">
        <v>50</v>
      </c>
      <c r="B9" t="s">
        <v>0</v>
      </c>
      <c r="C9">
        <v>2733</v>
      </c>
      <c r="E9">
        <v>1.77</v>
      </c>
    </row>
    <row r="10" spans="1:5" x14ac:dyDescent="0.3">
      <c r="A10" s="7">
        <v>50</v>
      </c>
      <c r="B10" t="s">
        <v>1</v>
      </c>
      <c r="C10">
        <v>398</v>
      </c>
      <c r="E10">
        <v>0.88</v>
      </c>
    </row>
    <row r="11" spans="1:5" x14ac:dyDescent="0.3">
      <c r="A11" s="7">
        <v>50</v>
      </c>
      <c r="B11" t="s">
        <v>2</v>
      </c>
      <c r="C11">
        <v>823</v>
      </c>
      <c r="E11">
        <v>1.41</v>
      </c>
    </row>
    <row r="12" spans="1:5" x14ac:dyDescent="0.3">
      <c r="A12" s="7">
        <v>50</v>
      </c>
      <c r="B12" t="s">
        <v>3</v>
      </c>
      <c r="C12">
        <v>889</v>
      </c>
      <c r="E12">
        <v>2.75</v>
      </c>
    </row>
    <row r="13" spans="1:5" x14ac:dyDescent="0.3">
      <c r="A13" s="7">
        <v>50</v>
      </c>
      <c r="B13" t="s">
        <v>4</v>
      </c>
      <c r="C13">
        <v>329</v>
      </c>
      <c r="E13">
        <v>1.4</v>
      </c>
    </row>
    <row r="14" spans="1:5" x14ac:dyDescent="0.3">
      <c r="A14" s="7">
        <v>50</v>
      </c>
      <c r="B14" s="4" t="s">
        <v>5</v>
      </c>
      <c r="C14" s="4">
        <f>AVERAGE(C9:C13)</f>
        <v>1034.4000000000001</v>
      </c>
      <c r="D14" s="4"/>
      <c r="E14" s="4">
        <f>AVERAGE(E9:E13)</f>
        <v>1.6419999999999999</v>
      </c>
    </row>
    <row r="15" spans="1:5" x14ac:dyDescent="0.3">
      <c r="A15" s="1"/>
    </row>
    <row r="16" spans="1:5" x14ac:dyDescent="0.3">
      <c r="A16" s="7">
        <v>100</v>
      </c>
      <c r="B16" t="s">
        <v>0</v>
      </c>
      <c r="C16">
        <v>3600</v>
      </c>
      <c r="D16" s="3">
        <v>5.3900000000000003E-2</v>
      </c>
      <c r="E16">
        <v>1.91</v>
      </c>
    </row>
    <row r="17" spans="1:5" x14ac:dyDescent="0.3">
      <c r="A17" s="7">
        <v>100</v>
      </c>
      <c r="B17" t="s">
        <v>1</v>
      </c>
      <c r="C17">
        <v>3061</v>
      </c>
      <c r="E17">
        <v>1.43</v>
      </c>
    </row>
    <row r="18" spans="1:5" x14ac:dyDescent="0.3">
      <c r="A18" s="7">
        <v>100</v>
      </c>
      <c r="B18" t="s">
        <v>2</v>
      </c>
      <c r="C18">
        <v>3600</v>
      </c>
      <c r="D18" s="3">
        <v>6.8000000000000005E-2</v>
      </c>
      <c r="E18">
        <v>2.16</v>
      </c>
    </row>
    <row r="19" spans="1:5" x14ac:dyDescent="0.3">
      <c r="A19" s="7">
        <v>100</v>
      </c>
      <c r="B19" t="s">
        <v>3</v>
      </c>
      <c r="C19">
        <v>3600</v>
      </c>
      <c r="D19" s="3">
        <v>8.1600000000000006E-2</v>
      </c>
      <c r="E19">
        <v>3.41</v>
      </c>
    </row>
    <row r="20" spans="1:5" x14ac:dyDescent="0.3">
      <c r="A20" s="7">
        <v>100</v>
      </c>
      <c r="B20" t="s">
        <v>4</v>
      </c>
      <c r="C20">
        <v>1311</v>
      </c>
      <c r="E20">
        <v>1.71</v>
      </c>
    </row>
    <row r="21" spans="1:5" x14ac:dyDescent="0.3">
      <c r="A21" s="7">
        <v>100</v>
      </c>
      <c r="B21" s="4" t="s">
        <v>5</v>
      </c>
      <c r="C21" s="4">
        <f>AVERAGE(C16:C20)</f>
        <v>3034.4</v>
      </c>
      <c r="D21" s="4"/>
      <c r="E21" s="4">
        <f>AVERAGE(E16:E20)</f>
        <v>2.1240000000000001</v>
      </c>
    </row>
    <row r="23" spans="1:5" x14ac:dyDescent="0.3">
      <c r="A23" s="7">
        <v>250</v>
      </c>
      <c r="B23" t="s">
        <v>0</v>
      </c>
      <c r="C23">
        <v>3600</v>
      </c>
      <c r="D23" s="2">
        <v>0.16</v>
      </c>
      <c r="E23">
        <v>1.31</v>
      </c>
    </row>
    <row r="24" spans="1:5" x14ac:dyDescent="0.3">
      <c r="A24" s="7">
        <v>250</v>
      </c>
      <c r="B24" t="s">
        <v>1</v>
      </c>
      <c r="C24">
        <v>3600</v>
      </c>
      <c r="D24" s="2">
        <v>0.08</v>
      </c>
      <c r="E24">
        <v>1.32</v>
      </c>
    </row>
    <row r="25" spans="1:5" x14ac:dyDescent="0.3">
      <c r="A25" s="7">
        <v>250</v>
      </c>
      <c r="B25" t="s">
        <v>2</v>
      </c>
      <c r="C25">
        <v>3600</v>
      </c>
      <c r="D25" s="2">
        <v>0.1</v>
      </c>
      <c r="E25">
        <v>1.0900000000000001</v>
      </c>
    </row>
    <row r="26" spans="1:5" x14ac:dyDescent="0.3">
      <c r="A26" s="7">
        <v>250</v>
      </c>
      <c r="B26" t="s">
        <v>3</v>
      </c>
      <c r="C26">
        <v>3600</v>
      </c>
      <c r="D26" s="2">
        <v>0.14000000000000001</v>
      </c>
      <c r="E26">
        <v>1.04</v>
      </c>
    </row>
    <row r="27" spans="1:5" x14ac:dyDescent="0.3">
      <c r="A27" s="7">
        <v>250</v>
      </c>
      <c r="B27" t="s">
        <v>4</v>
      </c>
      <c r="C27">
        <v>3600</v>
      </c>
      <c r="D27" s="2">
        <v>7.0000000000000007E-2</v>
      </c>
      <c r="E27">
        <v>1.57</v>
      </c>
    </row>
    <row r="28" spans="1:5" x14ac:dyDescent="0.3">
      <c r="A28" s="7">
        <v>250</v>
      </c>
      <c r="B28" s="4" t="s">
        <v>5</v>
      </c>
      <c r="C28" s="4">
        <f>AVERAGE(C23:C27)</f>
        <v>3600</v>
      </c>
      <c r="D28" s="4"/>
      <c r="E28" s="4">
        <f>AVERAGE(E23:E27)</f>
        <v>1.266</v>
      </c>
    </row>
    <row r="29" spans="1:5" x14ac:dyDescent="0.3">
      <c r="A29" s="1"/>
    </row>
    <row r="30" spans="1:5" x14ac:dyDescent="0.3">
      <c r="A30" s="7">
        <v>500</v>
      </c>
      <c r="B30" t="s">
        <v>0</v>
      </c>
      <c r="C30">
        <v>3600</v>
      </c>
      <c r="D30" s="2">
        <v>0.22</v>
      </c>
      <c r="E30">
        <v>2.09</v>
      </c>
    </row>
    <row r="31" spans="1:5" x14ac:dyDescent="0.3">
      <c r="A31" s="7">
        <v>500</v>
      </c>
      <c r="B31" t="s">
        <v>1</v>
      </c>
      <c r="C31">
        <v>3600</v>
      </c>
      <c r="D31" s="2">
        <v>0.23</v>
      </c>
      <c r="E31">
        <v>1.48</v>
      </c>
    </row>
    <row r="32" spans="1:5" x14ac:dyDescent="0.3">
      <c r="A32" s="7">
        <v>500</v>
      </c>
      <c r="B32" t="s">
        <v>2</v>
      </c>
      <c r="C32">
        <v>3600</v>
      </c>
      <c r="D32" s="2">
        <v>0.21</v>
      </c>
      <c r="E32">
        <v>1.26</v>
      </c>
    </row>
    <row r="33" spans="1:5" x14ac:dyDescent="0.3">
      <c r="A33" s="7">
        <v>500</v>
      </c>
      <c r="B33" t="s">
        <v>3</v>
      </c>
      <c r="C33">
        <v>3600</v>
      </c>
      <c r="D33" s="2">
        <v>0.25</v>
      </c>
      <c r="E33">
        <v>2.2000000000000002</v>
      </c>
    </row>
    <row r="34" spans="1:5" x14ac:dyDescent="0.3">
      <c r="A34" s="7">
        <v>500</v>
      </c>
      <c r="B34" t="s">
        <v>4</v>
      </c>
      <c r="C34">
        <v>3600</v>
      </c>
      <c r="D34" s="2">
        <v>0.24</v>
      </c>
      <c r="E34">
        <v>2.7</v>
      </c>
    </row>
    <row r="35" spans="1:5" x14ac:dyDescent="0.3">
      <c r="A35" s="7">
        <v>500</v>
      </c>
      <c r="B35" s="4" t="s">
        <v>5</v>
      </c>
      <c r="C35" s="4">
        <f>AVERAGE(C30:C34)</f>
        <v>3600</v>
      </c>
      <c r="D35" s="4"/>
      <c r="E35" s="4">
        <f>AVERAGE(E30:E34)</f>
        <v>1.9460000000000002</v>
      </c>
    </row>
    <row r="37" spans="1:5" x14ac:dyDescent="0.3">
      <c r="A37" s="7">
        <v>1000</v>
      </c>
      <c r="B37" t="s">
        <v>0</v>
      </c>
      <c r="C37">
        <v>3600</v>
      </c>
      <c r="D37" s="2">
        <v>0.45</v>
      </c>
      <c r="E37">
        <v>2.2200000000000002</v>
      </c>
    </row>
    <row r="38" spans="1:5" x14ac:dyDescent="0.3">
      <c r="A38" s="7">
        <v>1000</v>
      </c>
      <c r="B38" t="s">
        <v>1</v>
      </c>
      <c r="C38">
        <v>3600</v>
      </c>
      <c r="D38" s="2">
        <v>0.31</v>
      </c>
      <c r="E38">
        <v>1.26</v>
      </c>
    </row>
    <row r="39" spans="1:5" x14ac:dyDescent="0.3">
      <c r="A39" s="7">
        <v>1000</v>
      </c>
      <c r="B39" t="s">
        <v>2</v>
      </c>
      <c r="C39">
        <v>3600</v>
      </c>
      <c r="D39" s="2">
        <v>0.32</v>
      </c>
      <c r="E39">
        <v>1.42</v>
      </c>
    </row>
    <row r="40" spans="1:5" x14ac:dyDescent="0.3">
      <c r="A40" s="7">
        <v>1000</v>
      </c>
      <c r="B40" t="s">
        <v>3</v>
      </c>
      <c r="C40">
        <v>3600</v>
      </c>
      <c r="D40" s="2">
        <v>0.43</v>
      </c>
      <c r="E40">
        <v>1.32</v>
      </c>
    </row>
    <row r="41" spans="1:5" x14ac:dyDescent="0.3">
      <c r="A41" s="7">
        <v>1000</v>
      </c>
      <c r="B41" t="s">
        <v>4</v>
      </c>
      <c r="C41">
        <v>3600</v>
      </c>
      <c r="D41" s="2">
        <v>0.33</v>
      </c>
      <c r="E41">
        <v>2.66</v>
      </c>
    </row>
    <row r="42" spans="1:5" x14ac:dyDescent="0.3">
      <c r="A42" s="7">
        <v>1000</v>
      </c>
      <c r="B42" s="4" t="s">
        <v>5</v>
      </c>
      <c r="C42" s="4">
        <f>AVERAGE(C37:C41)</f>
        <v>3600</v>
      </c>
      <c r="D42" s="4"/>
      <c r="E42" s="4">
        <f>AVERAGE(E37:E41)</f>
        <v>1.7760000000000002</v>
      </c>
    </row>
    <row r="44" spans="1:5" x14ac:dyDescent="0.3">
      <c r="A44" s="7">
        <v>1500</v>
      </c>
      <c r="B44" t="s">
        <v>0</v>
      </c>
      <c r="C44">
        <v>3600</v>
      </c>
      <c r="D44" s="2">
        <v>0.39</v>
      </c>
      <c r="E44">
        <v>3.81</v>
      </c>
    </row>
    <row r="45" spans="1:5" x14ac:dyDescent="0.3">
      <c r="A45" s="7"/>
      <c r="B45" t="s">
        <v>1</v>
      </c>
      <c r="C45">
        <v>3600</v>
      </c>
      <c r="D45" s="2">
        <v>0.39</v>
      </c>
      <c r="E45">
        <v>1.52</v>
      </c>
    </row>
    <row r="46" spans="1:5" x14ac:dyDescent="0.3">
      <c r="A46" s="7"/>
      <c r="B46" t="s">
        <v>2</v>
      </c>
      <c r="C46">
        <v>3600</v>
      </c>
      <c r="D46" s="2">
        <v>0.5</v>
      </c>
      <c r="E46">
        <v>1.8</v>
      </c>
    </row>
    <row r="47" spans="1:5" x14ac:dyDescent="0.3">
      <c r="A47" s="7"/>
      <c r="B47" t="s">
        <v>3</v>
      </c>
      <c r="C47">
        <v>3600</v>
      </c>
      <c r="D47" s="2">
        <v>0.4</v>
      </c>
      <c r="E47">
        <v>1.63</v>
      </c>
    </row>
    <row r="48" spans="1:5" x14ac:dyDescent="0.3">
      <c r="A48" s="7"/>
      <c r="B48" t="s">
        <v>4</v>
      </c>
      <c r="C48">
        <v>3600</v>
      </c>
      <c r="D48" s="2">
        <v>0.43</v>
      </c>
      <c r="E48">
        <v>3.13</v>
      </c>
    </row>
    <row r="49" spans="1:5" x14ac:dyDescent="0.3">
      <c r="A49" s="7"/>
      <c r="B49" t="s">
        <v>5</v>
      </c>
      <c r="C49" s="4">
        <f>AVERAGE(C44:C48)</f>
        <v>3600</v>
      </c>
      <c r="E49">
        <f>AVERAGE(E44:E48)</f>
        <v>2.3780000000000001</v>
      </c>
    </row>
    <row r="51" spans="1:5" x14ac:dyDescent="0.3">
      <c r="A51">
        <v>5000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EC646-79FB-49C3-8E30-CA35C352A17A}">
  <dimension ref="A1:G64"/>
  <sheetViews>
    <sheetView topLeftCell="A33" workbookViewId="0">
      <selection activeCell="D46" sqref="D46"/>
    </sheetView>
  </sheetViews>
  <sheetFormatPr defaultRowHeight="14.4" x14ac:dyDescent="0.3"/>
  <cols>
    <col min="1" max="1" width="43.44140625" customWidth="1"/>
    <col min="2" max="2" width="9.44140625" bestFit="1" customWidth="1"/>
    <col min="3" max="3" width="32" customWidth="1"/>
    <col min="4" max="4" width="37.109375" bestFit="1" customWidth="1"/>
    <col min="5" max="5" width="16.6640625" bestFit="1" customWidth="1"/>
  </cols>
  <sheetData>
    <row r="1" spans="1:7" x14ac:dyDescent="0.3">
      <c r="A1" t="s">
        <v>6</v>
      </c>
      <c r="B1" t="s">
        <v>8</v>
      </c>
      <c r="C1" t="s">
        <v>11</v>
      </c>
      <c r="D1" t="s">
        <v>7</v>
      </c>
      <c r="E1" t="s">
        <v>12</v>
      </c>
      <c r="G1" t="s">
        <v>10</v>
      </c>
    </row>
    <row r="2" spans="1:7" x14ac:dyDescent="0.3">
      <c r="A2" s="7">
        <v>25</v>
      </c>
      <c r="B2" t="s">
        <v>0</v>
      </c>
      <c r="C2">
        <v>1193</v>
      </c>
      <c r="E2">
        <v>0.08</v>
      </c>
    </row>
    <row r="3" spans="1:7" x14ac:dyDescent="0.3">
      <c r="A3" s="7">
        <v>25</v>
      </c>
      <c r="B3" t="s">
        <v>1</v>
      </c>
      <c r="C3">
        <v>1648</v>
      </c>
      <c r="E3">
        <v>0.74</v>
      </c>
    </row>
    <row r="4" spans="1:7" x14ac:dyDescent="0.3">
      <c r="A4" s="7">
        <v>25</v>
      </c>
      <c r="B4" t="s">
        <v>2</v>
      </c>
      <c r="C4">
        <v>3600</v>
      </c>
      <c r="D4" s="2">
        <v>1.8700000000000001E-2</v>
      </c>
      <c r="E4">
        <v>0.5</v>
      </c>
    </row>
    <row r="5" spans="1:7" x14ac:dyDescent="0.3">
      <c r="A5" s="7">
        <v>25</v>
      </c>
      <c r="B5" t="s">
        <v>3</v>
      </c>
      <c r="C5">
        <v>1251</v>
      </c>
      <c r="E5">
        <v>0.27</v>
      </c>
    </row>
    <row r="6" spans="1:7" x14ac:dyDescent="0.3">
      <c r="A6" s="7">
        <v>25</v>
      </c>
      <c r="B6" t="s">
        <v>4</v>
      </c>
      <c r="C6">
        <v>3600</v>
      </c>
      <c r="D6" s="3">
        <v>1.8E-3</v>
      </c>
      <c r="E6">
        <v>1.23</v>
      </c>
    </row>
    <row r="7" spans="1:7" x14ac:dyDescent="0.3">
      <c r="A7" s="7">
        <v>25</v>
      </c>
      <c r="B7" s="4" t="s">
        <v>5</v>
      </c>
      <c r="C7" s="4">
        <f>AVERAGE(C2:C6)</f>
        <v>2258.4</v>
      </c>
      <c r="D7" s="4"/>
      <c r="E7" s="4">
        <f>AVERAGE(E2:E6)</f>
        <v>0.56399999999999995</v>
      </c>
    </row>
    <row r="8" spans="1:7" x14ac:dyDescent="0.3">
      <c r="A8" s="1"/>
    </row>
    <row r="9" spans="1:7" x14ac:dyDescent="0.3">
      <c r="A9" s="7">
        <v>50</v>
      </c>
      <c r="B9" t="s">
        <v>0</v>
      </c>
      <c r="C9">
        <v>3600</v>
      </c>
      <c r="D9" s="3">
        <v>3.4799999999999998E-2</v>
      </c>
      <c r="E9">
        <v>1.1100000000000001</v>
      </c>
    </row>
    <row r="10" spans="1:7" x14ac:dyDescent="0.3">
      <c r="A10" s="7">
        <v>50</v>
      </c>
      <c r="B10" t="s">
        <v>1</v>
      </c>
      <c r="C10">
        <v>3600</v>
      </c>
      <c r="D10" s="3">
        <v>2.01E-2</v>
      </c>
      <c r="E10">
        <v>0.1</v>
      </c>
    </row>
    <row r="11" spans="1:7" x14ac:dyDescent="0.3">
      <c r="A11" s="7">
        <v>50</v>
      </c>
      <c r="B11" t="s">
        <v>2</v>
      </c>
      <c r="C11">
        <v>3600</v>
      </c>
      <c r="D11" s="3">
        <v>2.23E-2</v>
      </c>
      <c r="E11">
        <v>2.5099999999999998</v>
      </c>
    </row>
    <row r="12" spans="1:7" x14ac:dyDescent="0.3">
      <c r="A12" s="7">
        <v>50</v>
      </c>
      <c r="B12" t="s">
        <v>3</v>
      </c>
      <c r="C12">
        <v>3600</v>
      </c>
      <c r="D12" s="3">
        <v>1.83E-2</v>
      </c>
      <c r="E12">
        <v>1.26</v>
      </c>
    </row>
    <row r="13" spans="1:7" x14ac:dyDescent="0.3">
      <c r="A13" s="7">
        <v>50</v>
      </c>
      <c r="B13" t="s">
        <v>4</v>
      </c>
      <c r="C13">
        <v>3600</v>
      </c>
      <c r="D13" s="3">
        <v>7.4999999999999997E-3</v>
      </c>
      <c r="E13">
        <v>0.15</v>
      </c>
    </row>
    <row r="14" spans="1:7" x14ac:dyDescent="0.3">
      <c r="A14" s="7">
        <v>50</v>
      </c>
      <c r="B14" s="4" t="s">
        <v>5</v>
      </c>
      <c r="C14" s="4">
        <f>AVERAGE(C9:C13)</f>
        <v>3600</v>
      </c>
      <c r="D14" s="5">
        <f>AVERAGE(D9:D13)</f>
        <v>2.0599999999999997E-2</v>
      </c>
      <c r="E14" s="4">
        <f>AVERAGE(E9:E13)</f>
        <v>1.026</v>
      </c>
    </row>
    <row r="15" spans="1:7" x14ac:dyDescent="0.3">
      <c r="A15" s="1"/>
    </row>
    <row r="16" spans="1:7" x14ac:dyDescent="0.3">
      <c r="A16" s="7">
        <v>100</v>
      </c>
      <c r="B16" t="s">
        <v>0</v>
      </c>
      <c r="C16">
        <v>3600</v>
      </c>
      <c r="D16" s="3">
        <v>1.44E-2</v>
      </c>
      <c r="E16">
        <v>2.13</v>
      </c>
    </row>
    <row r="17" spans="1:5" x14ac:dyDescent="0.3">
      <c r="A17" s="7">
        <v>100</v>
      </c>
      <c r="B17" t="s">
        <v>1</v>
      </c>
      <c r="C17">
        <v>3600</v>
      </c>
      <c r="D17" s="3">
        <v>3.6400000000000002E-2</v>
      </c>
      <c r="E17">
        <v>0.11</v>
      </c>
    </row>
    <row r="18" spans="1:5" x14ac:dyDescent="0.3">
      <c r="A18" s="7">
        <v>100</v>
      </c>
      <c r="B18" t="s">
        <v>2</v>
      </c>
      <c r="C18">
        <v>3600</v>
      </c>
      <c r="D18" s="3">
        <v>4.3499999999999997E-2</v>
      </c>
      <c r="E18">
        <v>0.24</v>
      </c>
    </row>
    <row r="19" spans="1:5" x14ac:dyDescent="0.3">
      <c r="A19" s="7">
        <v>100</v>
      </c>
      <c r="B19" t="s">
        <v>3</v>
      </c>
      <c r="C19">
        <v>3600</v>
      </c>
      <c r="D19" s="3">
        <v>3.0599999999999999E-2</v>
      </c>
      <c r="E19">
        <v>4.42</v>
      </c>
    </row>
    <row r="20" spans="1:5" x14ac:dyDescent="0.3">
      <c r="A20" s="7">
        <v>100</v>
      </c>
      <c r="B20" t="s">
        <v>4</v>
      </c>
      <c r="C20">
        <v>3600</v>
      </c>
      <c r="D20" s="3">
        <v>1.34E-2</v>
      </c>
      <c r="E20">
        <v>3.84</v>
      </c>
    </row>
    <row r="21" spans="1:5" x14ac:dyDescent="0.3">
      <c r="A21" s="7">
        <v>100</v>
      </c>
      <c r="B21" s="4" t="s">
        <v>5</v>
      </c>
      <c r="C21" s="4">
        <f>AVERAGE(C16:C20)</f>
        <v>3600</v>
      </c>
      <c r="D21" s="6">
        <f>AVERAGE(D16:D20)</f>
        <v>2.7660000000000001E-2</v>
      </c>
      <c r="E21" s="4">
        <f>AVERAGE(E16:E20)</f>
        <v>2.1479999999999997</v>
      </c>
    </row>
    <row r="23" spans="1:5" x14ac:dyDescent="0.3">
      <c r="A23" s="7">
        <v>250</v>
      </c>
      <c r="B23" t="s">
        <v>0</v>
      </c>
      <c r="C23">
        <v>3600</v>
      </c>
      <c r="D23" s="2">
        <v>6.7299999999999999E-2</v>
      </c>
      <c r="E23">
        <v>6.54</v>
      </c>
    </row>
    <row r="24" spans="1:5" x14ac:dyDescent="0.3">
      <c r="A24" s="7">
        <v>250</v>
      </c>
      <c r="B24" t="s">
        <v>1</v>
      </c>
      <c r="C24">
        <v>3600</v>
      </c>
      <c r="D24" s="2">
        <v>6.0299999999999999E-2</v>
      </c>
      <c r="E24">
        <v>11.49</v>
      </c>
    </row>
    <row r="25" spans="1:5" x14ac:dyDescent="0.3">
      <c r="A25" s="7">
        <v>250</v>
      </c>
      <c r="B25" t="s">
        <v>2</v>
      </c>
      <c r="C25">
        <v>3600</v>
      </c>
      <c r="D25" s="2">
        <v>5.1499999999999997E-2</v>
      </c>
      <c r="E25">
        <v>4.83</v>
      </c>
    </row>
    <row r="26" spans="1:5" x14ac:dyDescent="0.3">
      <c r="A26" s="7">
        <v>250</v>
      </c>
      <c r="B26" t="s">
        <v>3</v>
      </c>
      <c r="C26">
        <v>3600</v>
      </c>
      <c r="D26" s="2">
        <v>7.7799999999999994E-2</v>
      </c>
      <c r="E26">
        <v>3.75</v>
      </c>
    </row>
    <row r="27" spans="1:5" x14ac:dyDescent="0.3">
      <c r="A27" s="7">
        <v>250</v>
      </c>
      <c r="B27" t="s">
        <v>4</v>
      </c>
      <c r="C27">
        <v>3600</v>
      </c>
      <c r="D27" s="2">
        <v>6.8400000000000002E-2</v>
      </c>
      <c r="E27">
        <v>2.52</v>
      </c>
    </row>
    <row r="28" spans="1:5" x14ac:dyDescent="0.3">
      <c r="A28" s="7">
        <v>250</v>
      </c>
      <c r="B28" s="4" t="s">
        <v>5</v>
      </c>
      <c r="C28" s="4">
        <f>AVERAGE(C23:C27)</f>
        <v>3600</v>
      </c>
      <c r="D28" s="6">
        <f>AVERAGE(D23:D27)</f>
        <v>6.5059999999999993E-2</v>
      </c>
      <c r="E28" s="4">
        <f>AVERAGE(E23:E27)</f>
        <v>5.8259999999999996</v>
      </c>
    </row>
    <row r="29" spans="1:5" x14ac:dyDescent="0.3">
      <c r="A29" s="1"/>
    </row>
    <row r="30" spans="1:5" x14ac:dyDescent="0.3">
      <c r="A30" s="7">
        <v>500</v>
      </c>
      <c r="B30" t="s">
        <v>0</v>
      </c>
      <c r="C30">
        <v>3600</v>
      </c>
      <c r="D30" s="2">
        <v>9.4600000000000004E-2</v>
      </c>
      <c r="E30">
        <v>4.26</v>
      </c>
    </row>
    <row r="31" spans="1:5" x14ac:dyDescent="0.3">
      <c r="A31" s="7">
        <v>500</v>
      </c>
      <c r="B31" t="s">
        <v>1</v>
      </c>
      <c r="C31">
        <v>3600</v>
      </c>
      <c r="D31" s="2">
        <v>9.5600000000000004E-2</v>
      </c>
      <c r="E31">
        <v>4.1500000000000004</v>
      </c>
    </row>
    <row r="32" spans="1:5" x14ac:dyDescent="0.3">
      <c r="A32" s="7">
        <v>500</v>
      </c>
      <c r="B32" t="s">
        <v>2</v>
      </c>
      <c r="C32">
        <v>3600</v>
      </c>
      <c r="D32" s="2">
        <v>8.1299999999999997E-2</v>
      </c>
      <c r="E32">
        <v>10</v>
      </c>
    </row>
    <row r="33" spans="1:7" x14ac:dyDescent="0.3">
      <c r="A33" s="7">
        <v>500</v>
      </c>
      <c r="B33" t="s">
        <v>3</v>
      </c>
      <c r="C33">
        <v>3600</v>
      </c>
      <c r="D33" s="2">
        <v>8.2600000000000007E-2</v>
      </c>
      <c r="E33">
        <v>5.87</v>
      </c>
    </row>
    <row r="34" spans="1:7" x14ac:dyDescent="0.3">
      <c r="A34" s="7">
        <v>500</v>
      </c>
      <c r="B34" t="s">
        <v>4</v>
      </c>
      <c r="C34">
        <v>3600</v>
      </c>
      <c r="D34" s="2">
        <v>7.3400000000000007E-2</v>
      </c>
      <c r="E34">
        <v>8.75</v>
      </c>
    </row>
    <row r="35" spans="1:7" x14ac:dyDescent="0.3">
      <c r="A35" s="7">
        <v>500</v>
      </c>
      <c r="B35" s="4" t="s">
        <v>5</v>
      </c>
      <c r="C35" s="4">
        <f>AVERAGE(C30:C34)</f>
        <v>3600</v>
      </c>
      <c r="D35" s="6">
        <f>AVERAGE(D30:D34)</f>
        <v>8.5500000000000007E-2</v>
      </c>
      <c r="E35" s="4">
        <f>AVERAGE(E30:E34)</f>
        <v>6.6059999999999999</v>
      </c>
    </row>
    <row r="37" spans="1:7" x14ac:dyDescent="0.3">
      <c r="A37" s="7">
        <v>1000</v>
      </c>
      <c r="B37" t="s">
        <v>0</v>
      </c>
      <c r="C37">
        <v>3600</v>
      </c>
      <c r="D37" s="3">
        <v>0.18579999999999999</v>
      </c>
      <c r="E37" s="9">
        <v>4.55</v>
      </c>
      <c r="G37">
        <v>2.2200000000000002</v>
      </c>
    </row>
    <row r="38" spans="1:7" x14ac:dyDescent="0.3">
      <c r="A38" s="7">
        <v>1000</v>
      </c>
      <c r="B38" t="s">
        <v>1</v>
      </c>
      <c r="C38">
        <v>3600</v>
      </c>
      <c r="D38" s="3">
        <v>0.18190000000000001</v>
      </c>
      <c r="E38" s="9">
        <v>4.0199999999999996</v>
      </c>
      <c r="G38">
        <v>1.26</v>
      </c>
    </row>
    <row r="39" spans="1:7" x14ac:dyDescent="0.3">
      <c r="A39" s="7">
        <v>1000</v>
      </c>
      <c r="B39" t="s">
        <v>2</v>
      </c>
      <c r="C39">
        <v>3600</v>
      </c>
      <c r="D39" s="3">
        <v>0.18110000000000001</v>
      </c>
      <c r="E39" s="9">
        <v>7.88</v>
      </c>
      <c r="G39">
        <v>1.42</v>
      </c>
    </row>
    <row r="40" spans="1:7" x14ac:dyDescent="0.3">
      <c r="A40" s="7">
        <v>1000</v>
      </c>
      <c r="B40" t="s">
        <v>3</v>
      </c>
      <c r="C40">
        <v>3600</v>
      </c>
      <c r="D40" s="3">
        <v>0.17100000000000001</v>
      </c>
      <c r="E40" s="9">
        <v>8.5500000000000007</v>
      </c>
      <c r="G40">
        <v>1.32</v>
      </c>
    </row>
    <row r="41" spans="1:7" x14ac:dyDescent="0.3">
      <c r="A41" s="7">
        <v>1000</v>
      </c>
      <c r="B41" t="s">
        <v>4</v>
      </c>
      <c r="C41">
        <v>3600</v>
      </c>
      <c r="D41" s="3">
        <v>0.1774</v>
      </c>
      <c r="E41" s="9">
        <v>7.67</v>
      </c>
      <c r="G41">
        <v>2.66</v>
      </c>
    </row>
    <row r="42" spans="1:7" x14ac:dyDescent="0.3">
      <c r="A42" s="7">
        <v>1000</v>
      </c>
      <c r="B42" s="4" t="s">
        <v>5</v>
      </c>
      <c r="C42" s="4">
        <f>AVERAGE(C37:C41)</f>
        <v>3600</v>
      </c>
      <c r="D42" s="5">
        <f>AVERAGE(D37:D41)</f>
        <v>0.17944000000000002</v>
      </c>
      <c r="E42" s="4">
        <f>AVERAGE(E37:E41)</f>
        <v>6.5340000000000007</v>
      </c>
      <c r="F42" s="4"/>
      <c r="G42" s="4">
        <f>AVERAGE(G37:G41)</f>
        <v>1.7760000000000002</v>
      </c>
    </row>
    <row r="44" spans="1:7" x14ac:dyDescent="0.3">
      <c r="A44" s="7">
        <v>1500</v>
      </c>
      <c r="B44" t="s">
        <v>0</v>
      </c>
      <c r="D44" s="2"/>
      <c r="E44">
        <v>4.4000000000000004</v>
      </c>
      <c r="G44">
        <v>3.81</v>
      </c>
    </row>
    <row r="45" spans="1:7" x14ac:dyDescent="0.3">
      <c r="A45" s="7">
        <v>1500</v>
      </c>
      <c r="B45" t="s">
        <v>1</v>
      </c>
      <c r="D45" s="2"/>
      <c r="E45">
        <v>5.65</v>
      </c>
      <c r="G45">
        <v>1.52</v>
      </c>
    </row>
    <row r="46" spans="1:7" x14ac:dyDescent="0.3">
      <c r="A46" s="7">
        <v>1500</v>
      </c>
      <c r="B46" t="s">
        <v>2</v>
      </c>
      <c r="D46" s="2"/>
      <c r="E46">
        <v>6.61</v>
      </c>
      <c r="G46">
        <v>1.8</v>
      </c>
    </row>
    <row r="47" spans="1:7" x14ac:dyDescent="0.3">
      <c r="A47" s="7">
        <v>1500</v>
      </c>
      <c r="B47" t="s">
        <v>3</v>
      </c>
      <c r="D47" s="2"/>
      <c r="E47">
        <v>5.7</v>
      </c>
      <c r="G47">
        <v>1.63</v>
      </c>
    </row>
    <row r="48" spans="1:7" x14ac:dyDescent="0.3">
      <c r="A48" s="7">
        <v>1500</v>
      </c>
      <c r="B48" t="s">
        <v>4</v>
      </c>
      <c r="D48" s="2"/>
      <c r="E48">
        <v>6.08</v>
      </c>
      <c r="G48">
        <v>3.13</v>
      </c>
    </row>
    <row r="49" spans="1:7" x14ac:dyDescent="0.3">
      <c r="A49" s="7">
        <v>1500</v>
      </c>
      <c r="B49" t="s">
        <v>5</v>
      </c>
      <c r="C49" s="4"/>
      <c r="E49">
        <f>AVERAGE(E44:E48)</f>
        <v>5.6879999999999997</v>
      </c>
      <c r="G49">
        <f>AVERAGE(G44:G48)</f>
        <v>2.3780000000000001</v>
      </c>
    </row>
    <row r="51" spans="1:7" x14ac:dyDescent="0.3">
      <c r="A51" s="8">
        <v>5000</v>
      </c>
      <c r="B51" t="s">
        <v>0</v>
      </c>
      <c r="D51" s="2"/>
      <c r="E51" s="9">
        <v>6.07</v>
      </c>
      <c r="G51">
        <v>3.71</v>
      </c>
    </row>
    <row r="52" spans="1:7" x14ac:dyDescent="0.3">
      <c r="A52" s="8">
        <v>5000</v>
      </c>
      <c r="B52" t="s">
        <v>1</v>
      </c>
      <c r="D52" s="2"/>
      <c r="E52" s="9">
        <v>5.84</v>
      </c>
      <c r="G52">
        <v>2.65</v>
      </c>
    </row>
    <row r="53" spans="1:7" x14ac:dyDescent="0.3">
      <c r="A53" s="8">
        <v>5000</v>
      </c>
      <c r="B53" t="s">
        <v>2</v>
      </c>
      <c r="D53" s="2"/>
      <c r="E53" s="9">
        <v>7.49</v>
      </c>
      <c r="G53">
        <v>2.97</v>
      </c>
    </row>
    <row r="54" spans="1:7" x14ac:dyDescent="0.3">
      <c r="A54" s="8">
        <v>5000</v>
      </c>
      <c r="B54" t="s">
        <v>3</v>
      </c>
      <c r="D54" s="2"/>
      <c r="E54" s="9">
        <v>7.07</v>
      </c>
      <c r="G54">
        <v>3.16</v>
      </c>
    </row>
    <row r="55" spans="1:7" x14ac:dyDescent="0.3">
      <c r="A55" s="8">
        <v>5000</v>
      </c>
      <c r="B55" t="s">
        <v>4</v>
      </c>
      <c r="D55" s="2"/>
      <c r="E55" s="9">
        <v>6.06</v>
      </c>
      <c r="G55">
        <v>2.71</v>
      </c>
    </row>
    <row r="56" spans="1:7" x14ac:dyDescent="0.3">
      <c r="A56" s="8">
        <v>5000</v>
      </c>
      <c r="B56" t="s">
        <v>5</v>
      </c>
      <c r="C56" s="4"/>
      <c r="E56" s="9">
        <f>AVERAGE(E51:E55)</f>
        <v>6.5060000000000002</v>
      </c>
      <c r="G56">
        <f>AVERAGE(G51:G55)</f>
        <v>3.04</v>
      </c>
    </row>
    <row r="58" spans="1:7" x14ac:dyDescent="0.3">
      <c r="A58" s="8">
        <v>10000</v>
      </c>
      <c r="E58" s="9">
        <v>8.6</v>
      </c>
      <c r="G58">
        <v>4.25</v>
      </c>
    </row>
    <row r="59" spans="1:7" x14ac:dyDescent="0.3">
      <c r="A59" s="8">
        <v>10000</v>
      </c>
      <c r="E59" s="9">
        <v>6.58</v>
      </c>
      <c r="G59">
        <v>4.2699999999999996</v>
      </c>
    </row>
    <row r="60" spans="1:7" x14ac:dyDescent="0.3">
      <c r="A60" s="8">
        <v>10000</v>
      </c>
      <c r="E60" s="9">
        <v>6.35</v>
      </c>
      <c r="G60">
        <v>4.6900000000000004</v>
      </c>
    </row>
    <row r="61" spans="1:7" x14ac:dyDescent="0.3">
      <c r="A61" s="8">
        <v>10000</v>
      </c>
      <c r="E61" s="9">
        <v>6.46</v>
      </c>
      <c r="G61">
        <v>4.84</v>
      </c>
    </row>
    <row r="62" spans="1:7" x14ac:dyDescent="0.3">
      <c r="A62" s="8">
        <v>10000</v>
      </c>
      <c r="E62" s="9">
        <v>8.11</v>
      </c>
      <c r="G62">
        <v>4.04</v>
      </c>
    </row>
    <row r="63" spans="1:7" x14ac:dyDescent="0.3">
      <c r="A63" s="8">
        <v>10000</v>
      </c>
      <c r="B63" t="s">
        <v>5</v>
      </c>
      <c r="E63" s="9">
        <f>AVERAGE(E58:E62)</f>
        <v>7.2200000000000006</v>
      </c>
      <c r="G63">
        <f>AVERAGE(G58:G62)</f>
        <v>4.4180000000000001</v>
      </c>
    </row>
    <row r="64" spans="1:7" x14ac:dyDescent="0.3">
      <c r="A64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43F4F-521E-4939-9CD3-C0709434BCD4}">
  <dimension ref="A1:O38"/>
  <sheetViews>
    <sheetView topLeftCell="A16" workbookViewId="0">
      <selection activeCell="M34" sqref="M34"/>
    </sheetView>
  </sheetViews>
  <sheetFormatPr defaultRowHeight="14.4" x14ac:dyDescent="0.3"/>
  <cols>
    <col min="1" max="1" width="15.44140625" bestFit="1" customWidth="1"/>
    <col min="2" max="2" width="13.88671875" bestFit="1" customWidth="1"/>
    <col min="3" max="3" width="13.88671875" customWidth="1"/>
    <col min="5" max="5" width="10.77734375" customWidth="1"/>
    <col min="6" max="6" width="12.109375" bestFit="1" customWidth="1"/>
    <col min="10" max="10" width="13.88671875" customWidth="1"/>
    <col min="14" max="14" width="9.5546875" bestFit="1" customWidth="1"/>
    <col min="15" max="15" width="7.21875" bestFit="1" customWidth="1"/>
  </cols>
  <sheetData>
    <row r="1" spans="1:15" x14ac:dyDescent="0.3">
      <c r="A1" t="s">
        <v>17</v>
      </c>
      <c r="B1" t="s">
        <v>13</v>
      </c>
      <c r="C1" t="s">
        <v>15</v>
      </c>
      <c r="D1" t="s">
        <v>10</v>
      </c>
      <c r="E1" t="s">
        <v>14</v>
      </c>
      <c r="F1" t="s">
        <v>16</v>
      </c>
    </row>
    <row r="2" spans="1:15" x14ac:dyDescent="0.3">
      <c r="A2" s="15">
        <v>0.15</v>
      </c>
      <c r="B2" s="15">
        <v>0.95</v>
      </c>
      <c r="C2" s="15">
        <v>0.95</v>
      </c>
      <c r="D2" s="15">
        <v>18075</v>
      </c>
      <c r="E2" s="15">
        <v>18075</v>
      </c>
      <c r="F2" s="15">
        <f t="shared" ref="F2:F7" si="0">(E2-D2)/E2</f>
        <v>0</v>
      </c>
    </row>
    <row r="3" spans="1:15" x14ac:dyDescent="0.3">
      <c r="A3" s="15">
        <v>0.15</v>
      </c>
      <c r="B3" s="15">
        <v>0.9</v>
      </c>
      <c r="C3" s="15">
        <v>0.9</v>
      </c>
      <c r="D3" s="15">
        <v>16945</v>
      </c>
      <c r="E3" s="15">
        <v>18075</v>
      </c>
      <c r="F3" s="15">
        <f t="shared" si="0"/>
        <v>6.2517289073305671E-2</v>
      </c>
    </row>
    <row r="4" spans="1:15" x14ac:dyDescent="0.3">
      <c r="A4" s="15">
        <v>0.15</v>
      </c>
      <c r="B4" s="15">
        <v>0.85</v>
      </c>
      <c r="C4" s="15">
        <v>0.85</v>
      </c>
      <c r="D4" s="15">
        <v>15615</v>
      </c>
      <c r="E4" s="15">
        <v>17130</v>
      </c>
      <c r="F4" s="15">
        <f t="shared" si="0"/>
        <v>8.8441330998248691E-2</v>
      </c>
    </row>
    <row r="5" spans="1:15" x14ac:dyDescent="0.3">
      <c r="A5" s="15">
        <v>0.15</v>
      </c>
      <c r="B5" s="15">
        <v>0.8</v>
      </c>
      <c r="C5" s="15">
        <v>0.8</v>
      </c>
      <c r="D5" s="15">
        <v>14212</v>
      </c>
      <c r="E5" s="15">
        <v>14513</v>
      </c>
      <c r="F5" s="15">
        <f t="shared" si="0"/>
        <v>2.0740026183421759E-2</v>
      </c>
    </row>
    <row r="6" spans="1:15" x14ac:dyDescent="0.3">
      <c r="A6" s="15">
        <v>0.15</v>
      </c>
      <c r="B6" s="15">
        <v>0.75</v>
      </c>
      <c r="C6" s="15">
        <v>0.75</v>
      </c>
      <c r="D6" s="15">
        <v>13384.5</v>
      </c>
      <c r="E6" s="15">
        <v>14212</v>
      </c>
      <c r="F6" s="15">
        <f t="shared" si="0"/>
        <v>5.8225443287362795E-2</v>
      </c>
      <c r="J6" t="s">
        <v>19</v>
      </c>
    </row>
    <row r="7" spans="1:15" x14ac:dyDescent="0.3">
      <c r="A7" s="15">
        <v>0.15</v>
      </c>
      <c r="B7" s="15">
        <v>0.7</v>
      </c>
      <c r="C7" s="15">
        <v>0.7</v>
      </c>
      <c r="D7" s="15">
        <v>11405</v>
      </c>
      <c r="E7" s="15">
        <v>14212</v>
      </c>
      <c r="F7" s="15">
        <f t="shared" si="0"/>
        <v>0.19750914719954968</v>
      </c>
    </row>
    <row r="9" spans="1:15" x14ac:dyDescent="0.3">
      <c r="A9">
        <v>0.18</v>
      </c>
      <c r="B9">
        <v>0.95</v>
      </c>
      <c r="C9">
        <v>0.95</v>
      </c>
      <c r="D9">
        <v>18075</v>
      </c>
      <c r="E9">
        <v>18075</v>
      </c>
      <c r="F9" s="13">
        <f t="shared" ref="F9:F14" si="1">(E9-D9)/E9</f>
        <v>0</v>
      </c>
      <c r="K9" t="s">
        <v>20</v>
      </c>
      <c r="L9" t="s">
        <v>22</v>
      </c>
      <c r="M9" t="s">
        <v>21</v>
      </c>
      <c r="N9" t="s">
        <v>24</v>
      </c>
      <c r="O9" t="s">
        <v>23</v>
      </c>
    </row>
    <row r="10" spans="1:15" x14ac:dyDescent="0.3">
      <c r="A10">
        <v>0.18</v>
      </c>
      <c r="B10">
        <v>0.9</v>
      </c>
      <c r="C10">
        <v>0.9</v>
      </c>
      <c r="D10">
        <v>16944</v>
      </c>
      <c r="E10">
        <v>18075</v>
      </c>
      <c r="F10" s="13">
        <f t="shared" si="1"/>
        <v>6.2572614107883812E-2</v>
      </c>
      <c r="K10">
        <v>0.9</v>
      </c>
      <c r="L10">
        <v>16944</v>
      </c>
      <c r="M10">
        <v>18075</v>
      </c>
      <c r="N10">
        <f>M10-L10</f>
        <v>1131</v>
      </c>
      <c r="O10" s="10">
        <f>(M10-L10)/M10</f>
        <v>6.2572614107883812E-2</v>
      </c>
    </row>
    <row r="11" spans="1:15" x14ac:dyDescent="0.3">
      <c r="A11">
        <v>0.18</v>
      </c>
      <c r="B11">
        <v>0.85</v>
      </c>
      <c r="C11">
        <v>0.85</v>
      </c>
      <c r="D11">
        <v>15443</v>
      </c>
      <c r="E11">
        <v>17130</v>
      </c>
      <c r="F11" s="13">
        <f t="shared" si="1"/>
        <v>9.8482194979568005E-2</v>
      </c>
      <c r="K11">
        <v>0.85</v>
      </c>
      <c r="L11">
        <v>15443</v>
      </c>
      <c r="M11">
        <v>17130</v>
      </c>
      <c r="N11">
        <f t="shared" ref="N11:N14" si="2">M11-L11</f>
        <v>1687</v>
      </c>
      <c r="O11" s="10">
        <f>(M11-L11)/M11</f>
        <v>9.8482194979568005E-2</v>
      </c>
    </row>
    <row r="12" spans="1:15" x14ac:dyDescent="0.3">
      <c r="A12">
        <v>0.18</v>
      </c>
      <c r="B12">
        <v>0.8</v>
      </c>
      <c r="C12">
        <v>0.8</v>
      </c>
      <c r="D12">
        <v>13384</v>
      </c>
      <c r="E12">
        <v>14513</v>
      </c>
      <c r="F12" s="13">
        <f t="shared" si="1"/>
        <v>7.7792324123199891E-2</v>
      </c>
      <c r="K12">
        <v>0.8</v>
      </c>
      <c r="L12">
        <v>13384</v>
      </c>
      <c r="M12">
        <v>14513</v>
      </c>
      <c r="N12">
        <f t="shared" si="2"/>
        <v>1129</v>
      </c>
      <c r="O12" s="10">
        <f>(M12-L12)/M12</f>
        <v>7.7792324123199891E-2</v>
      </c>
    </row>
    <row r="13" spans="1:15" x14ac:dyDescent="0.3">
      <c r="A13">
        <v>0.18</v>
      </c>
      <c r="B13">
        <v>0.75</v>
      </c>
      <c r="C13">
        <v>0.75</v>
      </c>
      <c r="D13">
        <v>11144</v>
      </c>
      <c r="E13">
        <v>14212</v>
      </c>
      <c r="F13" s="13">
        <f t="shared" si="1"/>
        <v>0.21587390937236139</v>
      </c>
      <c r="K13">
        <v>0.75</v>
      </c>
      <c r="L13">
        <v>11144</v>
      </c>
      <c r="M13">
        <v>14212</v>
      </c>
      <c r="N13">
        <f t="shared" si="2"/>
        <v>3068</v>
      </c>
      <c r="O13" s="10">
        <f>(M13-L13)/M13</f>
        <v>0.21587390937236139</v>
      </c>
    </row>
    <row r="14" spans="1:15" x14ac:dyDescent="0.3">
      <c r="A14">
        <v>0.18</v>
      </c>
      <c r="B14">
        <v>0.7</v>
      </c>
      <c r="C14">
        <v>0.7</v>
      </c>
      <c r="D14">
        <v>10612</v>
      </c>
      <c r="E14">
        <v>14212</v>
      </c>
      <c r="F14" s="13">
        <f t="shared" si="1"/>
        <v>0.25330706445257528</v>
      </c>
      <c r="K14">
        <v>0.7</v>
      </c>
      <c r="L14">
        <v>10612</v>
      </c>
      <c r="M14">
        <v>14212</v>
      </c>
      <c r="N14">
        <f t="shared" si="2"/>
        <v>3600</v>
      </c>
      <c r="O14" s="10">
        <f>(M14-L14)/M14</f>
        <v>0.25330706445257528</v>
      </c>
    </row>
    <row r="17" spans="1:14" x14ac:dyDescent="0.3">
      <c r="A17" s="15">
        <v>0.12</v>
      </c>
      <c r="B17" s="15">
        <v>0.95</v>
      </c>
      <c r="C17" s="15">
        <v>0.95</v>
      </c>
      <c r="D17" s="15">
        <v>18075</v>
      </c>
      <c r="E17" s="15">
        <v>18075</v>
      </c>
      <c r="F17" s="15">
        <f t="shared" ref="F17:F22" si="3">(E17-D17)/E17</f>
        <v>0</v>
      </c>
    </row>
    <row r="18" spans="1:14" x14ac:dyDescent="0.3">
      <c r="A18" s="15">
        <v>0.12</v>
      </c>
      <c r="B18" s="15">
        <v>0.9</v>
      </c>
      <c r="C18" s="15">
        <v>0.9</v>
      </c>
      <c r="D18" s="15">
        <v>17130</v>
      </c>
      <c r="E18" s="15">
        <v>18075</v>
      </c>
      <c r="F18" s="15">
        <f t="shared" si="3"/>
        <v>5.2282157676348549E-2</v>
      </c>
    </row>
    <row r="19" spans="1:14" x14ac:dyDescent="0.3">
      <c r="A19" s="15">
        <v>0.12</v>
      </c>
      <c r="B19" s="15">
        <v>0.85</v>
      </c>
      <c r="C19" s="15">
        <v>0.85</v>
      </c>
      <c r="D19" s="15">
        <v>15870</v>
      </c>
      <c r="E19" s="15">
        <v>17130</v>
      </c>
      <c r="F19" s="15">
        <f t="shared" si="3"/>
        <v>7.3555166374781086E-2</v>
      </c>
    </row>
    <row r="20" spans="1:14" x14ac:dyDescent="0.3">
      <c r="A20" s="15">
        <v>0.12</v>
      </c>
      <c r="B20" s="15">
        <v>0.8</v>
      </c>
      <c r="C20" s="15">
        <v>0.8</v>
      </c>
      <c r="D20" s="15">
        <v>14212</v>
      </c>
      <c r="E20" s="15">
        <v>14513</v>
      </c>
      <c r="F20" s="15">
        <f t="shared" si="3"/>
        <v>2.0740026183421759E-2</v>
      </c>
    </row>
    <row r="21" spans="1:14" x14ac:dyDescent="0.3">
      <c r="A21" s="15">
        <v>0.12</v>
      </c>
      <c r="B21" s="15">
        <v>0.75</v>
      </c>
      <c r="C21" s="15">
        <v>0.75</v>
      </c>
      <c r="D21" s="15">
        <v>14212</v>
      </c>
      <c r="E21" s="15">
        <v>14212</v>
      </c>
      <c r="F21" s="15">
        <f t="shared" si="3"/>
        <v>0</v>
      </c>
    </row>
    <row r="22" spans="1:14" x14ac:dyDescent="0.3">
      <c r="A22" s="15">
        <v>0.12</v>
      </c>
      <c r="B22" s="15">
        <v>0.7</v>
      </c>
      <c r="C22" s="15">
        <v>0.7</v>
      </c>
      <c r="D22" s="15">
        <v>13385</v>
      </c>
      <c r="E22" s="15">
        <v>14212</v>
      </c>
      <c r="F22" s="15">
        <f t="shared" si="3"/>
        <v>5.8190261750633271E-2</v>
      </c>
    </row>
    <row r="24" spans="1:14" x14ac:dyDescent="0.3">
      <c r="A24" t="s">
        <v>36</v>
      </c>
    </row>
    <row r="25" spans="1:14" x14ac:dyDescent="0.3">
      <c r="A25">
        <v>0.18</v>
      </c>
      <c r="B25">
        <v>0.95</v>
      </c>
      <c r="C25">
        <v>0.95</v>
      </c>
      <c r="D25" s="15">
        <v>18075</v>
      </c>
      <c r="E25">
        <v>18075</v>
      </c>
      <c r="F25" s="13">
        <f t="shared" ref="F25:F30" si="4">(E25-D25)/E25</f>
        <v>0</v>
      </c>
      <c r="K25" s="15"/>
      <c r="M25" s="16"/>
      <c r="N25" s="13"/>
    </row>
    <row r="26" spans="1:14" x14ac:dyDescent="0.3">
      <c r="A26">
        <v>0.18</v>
      </c>
      <c r="B26">
        <v>0.9</v>
      </c>
      <c r="C26">
        <v>0.9</v>
      </c>
      <c r="D26" s="15">
        <v>16945</v>
      </c>
      <c r="E26">
        <v>18075</v>
      </c>
      <c r="F26" s="13">
        <f t="shared" si="4"/>
        <v>6.2517289073305671E-2</v>
      </c>
      <c r="H26">
        <v>0.18</v>
      </c>
      <c r="I26">
        <v>0.9</v>
      </c>
      <c r="J26">
        <v>0.9</v>
      </c>
      <c r="K26" s="15">
        <v>16945</v>
      </c>
      <c r="L26">
        <v>18075</v>
      </c>
      <c r="M26" s="16">
        <f t="shared" ref="M26:M30" si="5">L26-K26</f>
        <v>1130</v>
      </c>
      <c r="N26" s="13">
        <f t="shared" ref="N26:N30" si="6">M26/L26</f>
        <v>6.2517289073305671E-2</v>
      </c>
    </row>
    <row r="27" spans="1:14" x14ac:dyDescent="0.3">
      <c r="A27">
        <v>0.18</v>
      </c>
      <c r="B27">
        <v>0.85</v>
      </c>
      <c r="C27">
        <v>0.85</v>
      </c>
      <c r="D27" s="15">
        <v>15555</v>
      </c>
      <c r="E27">
        <v>17130</v>
      </c>
      <c r="F27" s="13">
        <f t="shared" si="4"/>
        <v>9.1943957968476361E-2</v>
      </c>
      <c r="H27">
        <v>0.18</v>
      </c>
      <c r="I27">
        <v>0.85</v>
      </c>
      <c r="J27">
        <v>0.85</v>
      </c>
      <c r="K27" s="15">
        <v>15555</v>
      </c>
      <c r="L27">
        <v>17130</v>
      </c>
      <c r="M27" s="16">
        <f t="shared" si="5"/>
        <v>1575</v>
      </c>
      <c r="N27" s="13">
        <f t="shared" si="6"/>
        <v>9.1943957968476361E-2</v>
      </c>
    </row>
    <row r="28" spans="1:14" x14ac:dyDescent="0.3">
      <c r="A28">
        <v>0.18</v>
      </c>
      <c r="B28">
        <v>0.8</v>
      </c>
      <c r="C28">
        <v>0.8</v>
      </c>
      <c r="D28" s="15">
        <v>13385</v>
      </c>
      <c r="E28">
        <v>14513</v>
      </c>
      <c r="F28" s="13">
        <f t="shared" si="4"/>
        <v>7.7723420381726721E-2</v>
      </c>
      <c r="H28">
        <v>0.18</v>
      </c>
      <c r="I28">
        <v>0.8</v>
      </c>
      <c r="J28">
        <v>0.8</v>
      </c>
      <c r="K28" s="15">
        <v>13385</v>
      </c>
      <c r="L28">
        <v>14513</v>
      </c>
      <c r="M28" s="16">
        <f t="shared" si="5"/>
        <v>1128</v>
      </c>
      <c r="N28" s="13">
        <f t="shared" si="6"/>
        <v>7.7723420381726721E-2</v>
      </c>
    </row>
    <row r="29" spans="1:14" x14ac:dyDescent="0.3">
      <c r="A29">
        <v>0.18</v>
      </c>
      <c r="B29">
        <v>0.75</v>
      </c>
      <c r="C29">
        <v>0.75</v>
      </c>
      <c r="D29" s="15">
        <v>11435</v>
      </c>
      <c r="E29">
        <v>14212</v>
      </c>
      <c r="F29" s="13">
        <f t="shared" si="4"/>
        <v>0.1953982549957782</v>
      </c>
      <c r="H29">
        <v>0.18</v>
      </c>
      <c r="I29">
        <v>0.75</v>
      </c>
      <c r="J29">
        <v>0.75</v>
      </c>
      <c r="K29" s="15">
        <v>11435</v>
      </c>
      <c r="L29">
        <v>14212</v>
      </c>
      <c r="M29" s="16">
        <f t="shared" si="5"/>
        <v>2777</v>
      </c>
      <c r="N29" s="13">
        <f t="shared" si="6"/>
        <v>0.1953982549957782</v>
      </c>
    </row>
    <row r="30" spans="1:14" x14ac:dyDescent="0.3">
      <c r="A30">
        <v>0.18</v>
      </c>
      <c r="B30">
        <v>0.7</v>
      </c>
      <c r="C30">
        <v>0.7</v>
      </c>
      <c r="D30" s="15">
        <v>10613</v>
      </c>
      <c r="E30">
        <v>14212</v>
      </c>
      <c r="F30" s="13">
        <f t="shared" si="4"/>
        <v>0.25323670137911625</v>
      </c>
      <c r="H30">
        <v>0.18</v>
      </c>
      <c r="I30">
        <v>0.7</v>
      </c>
      <c r="J30">
        <v>0.7</v>
      </c>
      <c r="K30" s="15">
        <v>10613</v>
      </c>
      <c r="L30">
        <v>14212</v>
      </c>
      <c r="M30" s="16">
        <f t="shared" si="5"/>
        <v>3599</v>
      </c>
      <c r="N30" s="13">
        <f t="shared" si="6"/>
        <v>0.25323670137911625</v>
      </c>
    </row>
    <row r="32" spans="1:14" x14ac:dyDescent="0.3">
      <c r="A32" t="s">
        <v>37</v>
      </c>
    </row>
    <row r="33" spans="1:14" x14ac:dyDescent="0.3">
      <c r="A33">
        <v>0.18</v>
      </c>
      <c r="B33">
        <v>0.95</v>
      </c>
      <c r="C33">
        <v>0.95</v>
      </c>
      <c r="D33">
        <v>18075</v>
      </c>
      <c r="E33">
        <v>18075</v>
      </c>
      <c r="F33" s="14">
        <f>(E33-D33)/E33</f>
        <v>0</v>
      </c>
    </row>
    <row r="34" spans="1:14" x14ac:dyDescent="0.3">
      <c r="A34">
        <v>0.18</v>
      </c>
      <c r="B34">
        <v>0.9</v>
      </c>
      <c r="C34">
        <v>0.9</v>
      </c>
      <c r="D34">
        <v>17018</v>
      </c>
      <c r="E34">
        <v>18075</v>
      </c>
      <c r="F34" s="14">
        <f t="shared" ref="F34:F38" si="7">(E34-D34)/E34</f>
        <v>5.8478561549100971E-2</v>
      </c>
      <c r="H34">
        <v>0.18</v>
      </c>
      <c r="I34">
        <v>0.9</v>
      </c>
      <c r="J34">
        <v>0.9</v>
      </c>
      <c r="K34">
        <v>17018</v>
      </c>
      <c r="L34">
        <v>18075</v>
      </c>
      <c r="M34" s="16">
        <f t="shared" ref="M34:M38" si="8">L34-K34</f>
        <v>1057</v>
      </c>
      <c r="N34" s="13">
        <f t="shared" ref="N34:N38" si="9">M34/L34</f>
        <v>5.8478561549100971E-2</v>
      </c>
    </row>
    <row r="35" spans="1:14" x14ac:dyDescent="0.3">
      <c r="A35">
        <v>0.18</v>
      </c>
      <c r="B35">
        <v>0.85</v>
      </c>
      <c r="C35">
        <v>0.85</v>
      </c>
      <c r="D35">
        <v>15980</v>
      </c>
      <c r="E35">
        <v>17130</v>
      </c>
      <c r="F35" s="14">
        <f t="shared" si="7"/>
        <v>6.713368359603035E-2</v>
      </c>
      <c r="H35">
        <v>0.18</v>
      </c>
      <c r="I35">
        <v>0.85</v>
      </c>
      <c r="J35">
        <v>0.85</v>
      </c>
      <c r="K35">
        <v>15980</v>
      </c>
      <c r="L35">
        <v>17130</v>
      </c>
      <c r="M35" s="16">
        <f t="shared" si="8"/>
        <v>1150</v>
      </c>
      <c r="N35" s="13">
        <f t="shared" si="9"/>
        <v>6.713368359603035E-2</v>
      </c>
    </row>
    <row r="36" spans="1:14" x14ac:dyDescent="0.3">
      <c r="A36">
        <v>0.18</v>
      </c>
      <c r="B36">
        <v>0.8</v>
      </c>
      <c r="C36">
        <v>0.8</v>
      </c>
      <c r="D36">
        <v>13652</v>
      </c>
      <c r="E36">
        <v>14513</v>
      </c>
      <c r="F36" s="14">
        <f t="shared" si="7"/>
        <v>5.9326121408392475E-2</v>
      </c>
      <c r="H36">
        <v>0.18</v>
      </c>
      <c r="I36">
        <v>0.8</v>
      </c>
      <c r="J36">
        <v>0.8</v>
      </c>
      <c r="K36">
        <v>13652</v>
      </c>
      <c r="L36">
        <v>14513</v>
      </c>
      <c r="M36" s="16">
        <f t="shared" si="8"/>
        <v>861</v>
      </c>
      <c r="N36" s="13">
        <f t="shared" si="9"/>
        <v>5.9326121408392475E-2</v>
      </c>
    </row>
    <row r="37" spans="1:14" x14ac:dyDescent="0.3">
      <c r="A37">
        <v>0.18</v>
      </c>
      <c r="B37">
        <v>0.75</v>
      </c>
      <c r="C37">
        <v>0.75</v>
      </c>
      <c r="D37">
        <v>13385</v>
      </c>
      <c r="E37">
        <v>14212</v>
      </c>
      <c r="F37" s="14">
        <f t="shared" si="7"/>
        <v>5.8190261750633271E-2</v>
      </c>
      <c r="H37">
        <v>0.18</v>
      </c>
      <c r="I37">
        <v>0.75</v>
      </c>
      <c r="J37">
        <v>0.75</v>
      </c>
      <c r="K37">
        <v>13385</v>
      </c>
      <c r="L37">
        <v>14212</v>
      </c>
      <c r="M37" s="16">
        <f t="shared" si="8"/>
        <v>827</v>
      </c>
      <c r="N37" s="13">
        <f t="shared" si="9"/>
        <v>5.8190261750633271E-2</v>
      </c>
    </row>
    <row r="38" spans="1:14" x14ac:dyDescent="0.3">
      <c r="A38">
        <v>0.18</v>
      </c>
      <c r="B38">
        <v>0.7</v>
      </c>
      <c r="C38">
        <v>0.7</v>
      </c>
      <c r="D38">
        <v>12734</v>
      </c>
      <c r="E38">
        <v>14212</v>
      </c>
      <c r="F38" s="14">
        <f t="shared" si="7"/>
        <v>0.10399662257247397</v>
      </c>
      <c r="H38">
        <v>0.18</v>
      </c>
      <c r="I38">
        <v>0.7</v>
      </c>
      <c r="J38">
        <v>0.7</v>
      </c>
      <c r="K38">
        <v>12734</v>
      </c>
      <c r="L38">
        <v>14212</v>
      </c>
      <c r="M38" s="16">
        <f t="shared" si="8"/>
        <v>1478</v>
      </c>
      <c r="N38" s="13">
        <f t="shared" si="9"/>
        <v>0.10399662257247397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C7336-8C92-405B-A7A1-AE76DEBCA307}">
  <dimension ref="A1:G11"/>
  <sheetViews>
    <sheetView workbookViewId="0">
      <selection sqref="A1:G2"/>
    </sheetView>
  </sheetViews>
  <sheetFormatPr defaultRowHeight="14.4" x14ac:dyDescent="0.3"/>
  <cols>
    <col min="3" max="3" width="13.88671875" bestFit="1" customWidth="1"/>
    <col min="4" max="4" width="12.6640625" bestFit="1" customWidth="1"/>
    <col min="5" max="5" width="13" customWidth="1"/>
    <col min="6" max="6" width="18.6640625" customWidth="1"/>
    <col min="7" max="7" width="14.6640625" customWidth="1"/>
  </cols>
  <sheetData>
    <row r="1" spans="1:7" x14ac:dyDescent="0.3">
      <c r="A1" t="s">
        <v>18</v>
      </c>
      <c r="B1" t="s">
        <v>17</v>
      </c>
      <c r="C1" t="s">
        <v>13</v>
      </c>
      <c r="D1" t="s">
        <v>15</v>
      </c>
      <c r="E1" t="s">
        <v>10</v>
      </c>
      <c r="F1" t="s">
        <v>14</v>
      </c>
      <c r="G1" t="s">
        <v>16</v>
      </c>
    </row>
    <row r="2" spans="1:7" x14ac:dyDescent="0.3">
      <c r="A2">
        <v>6</v>
      </c>
      <c r="B2">
        <v>0.18</v>
      </c>
      <c r="C2">
        <v>0.85</v>
      </c>
      <c r="D2">
        <v>0.85</v>
      </c>
      <c r="E2">
        <v>15443</v>
      </c>
      <c r="F2">
        <v>17130</v>
      </c>
      <c r="G2" s="10">
        <f>(F2-E2)/F2</f>
        <v>9.8482194979568005E-2</v>
      </c>
    </row>
    <row r="3" spans="1:7" x14ac:dyDescent="0.3">
      <c r="A3">
        <v>8</v>
      </c>
      <c r="B3">
        <v>0.18</v>
      </c>
      <c r="C3">
        <v>0.85</v>
      </c>
      <c r="D3">
        <v>0.85</v>
      </c>
      <c r="E3">
        <v>15187</v>
      </c>
      <c r="F3">
        <v>17130</v>
      </c>
      <c r="G3" s="10">
        <f>(F3-E3)/F3</f>
        <v>0.11342673671920607</v>
      </c>
    </row>
    <row r="4" spans="1:7" x14ac:dyDescent="0.3">
      <c r="A4">
        <v>10</v>
      </c>
      <c r="B4">
        <v>0.18</v>
      </c>
      <c r="C4">
        <v>0.85</v>
      </c>
      <c r="D4">
        <v>0.85</v>
      </c>
      <c r="E4">
        <v>14947</v>
      </c>
      <c r="F4">
        <v>17130</v>
      </c>
      <c r="G4" s="10">
        <f t="shared" ref="G4:G11" si="0">(F4-E4)/F4</f>
        <v>0.12743724460011677</v>
      </c>
    </row>
    <row r="5" spans="1:7" x14ac:dyDescent="0.3">
      <c r="A5">
        <v>12</v>
      </c>
      <c r="B5">
        <v>0.18</v>
      </c>
      <c r="C5">
        <v>0.85</v>
      </c>
      <c r="D5">
        <v>0.85</v>
      </c>
      <c r="E5">
        <v>14692</v>
      </c>
      <c r="F5">
        <v>17130</v>
      </c>
      <c r="G5" s="10">
        <f t="shared" si="0"/>
        <v>0.14232340922358436</v>
      </c>
    </row>
    <row r="6" spans="1:7" x14ac:dyDescent="0.3">
      <c r="A6">
        <v>14</v>
      </c>
      <c r="B6">
        <v>0.18</v>
      </c>
      <c r="C6">
        <v>0.85</v>
      </c>
      <c r="D6">
        <v>0.85</v>
      </c>
      <c r="E6">
        <v>14512</v>
      </c>
      <c r="F6">
        <v>17130</v>
      </c>
      <c r="G6" s="10">
        <f t="shared" si="0"/>
        <v>0.15283129013426736</v>
      </c>
    </row>
    <row r="7" spans="1:7" x14ac:dyDescent="0.3">
      <c r="A7">
        <v>16</v>
      </c>
      <c r="B7">
        <v>0.18</v>
      </c>
      <c r="C7">
        <v>0.85</v>
      </c>
      <c r="D7">
        <v>0.85</v>
      </c>
      <c r="E7">
        <v>14272</v>
      </c>
      <c r="F7">
        <v>17130</v>
      </c>
      <c r="G7" s="10">
        <f t="shared" si="0"/>
        <v>0.16684179801517804</v>
      </c>
    </row>
    <row r="8" spans="1:7" x14ac:dyDescent="0.3">
      <c r="A8">
        <v>18</v>
      </c>
      <c r="B8">
        <v>0.18</v>
      </c>
      <c r="C8">
        <v>0.85</v>
      </c>
      <c r="D8">
        <v>0.85</v>
      </c>
      <c r="E8">
        <v>14212</v>
      </c>
      <c r="F8">
        <v>17130</v>
      </c>
      <c r="G8" s="10">
        <f t="shared" si="0"/>
        <v>0.17034442498540572</v>
      </c>
    </row>
    <row r="9" spans="1:7" x14ac:dyDescent="0.3">
      <c r="A9">
        <v>20</v>
      </c>
      <c r="B9">
        <v>0.18</v>
      </c>
      <c r="C9">
        <v>0.85</v>
      </c>
      <c r="D9">
        <v>0.85</v>
      </c>
      <c r="E9">
        <v>14212</v>
      </c>
      <c r="F9">
        <v>17130</v>
      </c>
      <c r="G9" s="10">
        <f t="shared" si="0"/>
        <v>0.17034442498540572</v>
      </c>
    </row>
    <row r="10" spans="1:7" x14ac:dyDescent="0.3">
      <c r="A10">
        <v>22</v>
      </c>
      <c r="B10">
        <v>0.18</v>
      </c>
      <c r="C10">
        <v>0.85</v>
      </c>
      <c r="D10">
        <v>0.85</v>
      </c>
      <c r="E10">
        <v>14212</v>
      </c>
      <c r="F10">
        <v>17130</v>
      </c>
      <c r="G10" s="10">
        <f t="shared" si="0"/>
        <v>0.17034442498540572</v>
      </c>
    </row>
    <row r="11" spans="1:7" x14ac:dyDescent="0.3">
      <c r="A11">
        <v>24</v>
      </c>
      <c r="B11">
        <v>0.18</v>
      </c>
      <c r="C11">
        <v>0.85</v>
      </c>
      <c r="D11">
        <v>0.85</v>
      </c>
      <c r="E11">
        <v>14212</v>
      </c>
      <c r="F11">
        <v>17130</v>
      </c>
      <c r="G11" s="10">
        <f t="shared" si="0"/>
        <v>0.17034442498540572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1B79B-2F1B-45C8-8B54-89337258329D}">
  <dimension ref="A1:H14"/>
  <sheetViews>
    <sheetView workbookViewId="0">
      <selection activeCell="J18" sqref="J18"/>
    </sheetView>
  </sheetViews>
  <sheetFormatPr defaultRowHeight="14.4" x14ac:dyDescent="0.3"/>
  <cols>
    <col min="2" max="2" width="34.21875" customWidth="1"/>
  </cols>
  <sheetData>
    <row r="1" spans="1:8" x14ac:dyDescent="0.3">
      <c r="A1" t="s">
        <v>18</v>
      </c>
      <c r="B1" t="s">
        <v>25</v>
      </c>
      <c r="C1" t="s">
        <v>17</v>
      </c>
      <c r="D1" t="s">
        <v>13</v>
      </c>
      <c r="E1" t="s">
        <v>15</v>
      </c>
      <c r="F1" t="s">
        <v>10</v>
      </c>
      <c r="G1" t="s">
        <v>14</v>
      </c>
      <c r="H1" t="s">
        <v>16</v>
      </c>
    </row>
    <row r="2" spans="1:8" x14ac:dyDescent="0.3">
      <c r="A2">
        <v>6</v>
      </c>
      <c r="B2">
        <v>500</v>
      </c>
      <c r="C2">
        <v>0.18</v>
      </c>
      <c r="D2">
        <v>0.85</v>
      </c>
      <c r="E2">
        <v>0.85</v>
      </c>
      <c r="F2">
        <v>15443</v>
      </c>
      <c r="G2">
        <v>17130</v>
      </c>
      <c r="H2" s="10">
        <f>(G2-F2)/G2</f>
        <v>9.8482194979568005E-2</v>
      </c>
    </row>
    <row r="3" spans="1:8" x14ac:dyDescent="0.3">
      <c r="B3" t="s">
        <v>35</v>
      </c>
      <c r="H3" s="10"/>
    </row>
    <row r="4" spans="1:8" x14ac:dyDescent="0.3">
      <c r="B4" t="s">
        <v>34</v>
      </c>
      <c r="H4" s="10"/>
    </row>
    <row r="5" spans="1:8" x14ac:dyDescent="0.3">
      <c r="B5" t="s">
        <v>33</v>
      </c>
      <c r="F5">
        <v>15443</v>
      </c>
      <c r="H5" s="10"/>
    </row>
    <row r="6" spans="1:8" x14ac:dyDescent="0.3">
      <c r="B6" t="s">
        <v>32</v>
      </c>
      <c r="F6">
        <v>15443</v>
      </c>
      <c r="H6" s="10"/>
    </row>
    <row r="7" spans="1:8" x14ac:dyDescent="0.3">
      <c r="B7" t="s">
        <v>31</v>
      </c>
      <c r="F7">
        <v>15555</v>
      </c>
    </row>
    <row r="8" spans="1:8" x14ac:dyDescent="0.3">
      <c r="A8">
        <v>6</v>
      </c>
      <c r="B8" s="4">
        <v>300</v>
      </c>
      <c r="F8">
        <v>15555</v>
      </c>
    </row>
    <row r="9" spans="1:8" x14ac:dyDescent="0.3">
      <c r="B9" t="s">
        <v>26</v>
      </c>
      <c r="F9">
        <v>15555</v>
      </c>
    </row>
    <row r="10" spans="1:8" x14ac:dyDescent="0.3">
      <c r="B10" t="s">
        <v>30</v>
      </c>
      <c r="F10">
        <v>15555</v>
      </c>
    </row>
    <row r="11" spans="1:8" x14ac:dyDescent="0.3">
      <c r="B11" t="s">
        <v>29</v>
      </c>
      <c r="F11">
        <v>15562</v>
      </c>
    </row>
    <row r="12" spans="1:8" x14ac:dyDescent="0.3">
      <c r="B12" t="s">
        <v>28</v>
      </c>
      <c r="F12">
        <v>15629</v>
      </c>
    </row>
    <row r="13" spans="1:8" x14ac:dyDescent="0.3">
      <c r="B13" s="11" t="s">
        <v>27</v>
      </c>
      <c r="F13">
        <v>15830</v>
      </c>
    </row>
    <row r="14" spans="1:8" x14ac:dyDescent="0.3">
      <c r="A14">
        <v>6</v>
      </c>
      <c r="B14" s="12">
        <v>100</v>
      </c>
      <c r="F14">
        <v>15979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6181-6499-40F6-A775-AF68BD1F2B69}">
  <dimension ref="A1:E14"/>
  <sheetViews>
    <sheetView tabSelected="1" workbookViewId="0">
      <selection activeCell="K21" sqref="K21"/>
    </sheetView>
  </sheetViews>
  <sheetFormatPr defaultRowHeight="14.4" x14ac:dyDescent="0.3"/>
  <cols>
    <col min="5" max="5" width="10" bestFit="1" customWidth="1"/>
  </cols>
  <sheetData>
    <row r="1" spans="1:5" x14ac:dyDescent="0.3">
      <c r="A1" t="s">
        <v>38</v>
      </c>
      <c r="B1">
        <v>0.7</v>
      </c>
    </row>
    <row r="3" spans="1:5" x14ac:dyDescent="0.3">
      <c r="A3" t="s">
        <v>39</v>
      </c>
      <c r="B3" t="s">
        <v>22</v>
      </c>
      <c r="C3" t="s">
        <v>21</v>
      </c>
      <c r="D3" t="s">
        <v>40</v>
      </c>
      <c r="E3" t="s">
        <v>41</v>
      </c>
    </row>
    <row r="4" spans="1:5" x14ac:dyDescent="0.3">
      <c r="A4">
        <v>0.18</v>
      </c>
      <c r="B4">
        <v>10613</v>
      </c>
      <c r="C4">
        <v>14242</v>
      </c>
      <c r="D4">
        <f>C4-B4</f>
        <v>3629</v>
      </c>
      <c r="E4" s="10">
        <f>D4/C4</f>
        <v>0.25480971773627298</v>
      </c>
    </row>
    <row r="5" spans="1:5" x14ac:dyDescent="0.3">
      <c r="A5">
        <v>0.17</v>
      </c>
      <c r="B5">
        <v>11143</v>
      </c>
      <c r="C5">
        <v>14242</v>
      </c>
      <c r="D5">
        <f t="shared" ref="D5:D14" si="0">C5-B5</f>
        <v>3099</v>
      </c>
      <c r="E5" s="10">
        <f t="shared" ref="E5:E14" si="1">D5/C5</f>
        <v>0.21759584328043813</v>
      </c>
    </row>
    <row r="6" spans="1:5" x14ac:dyDescent="0.3">
      <c r="A6">
        <v>0.16</v>
      </c>
      <c r="B6">
        <v>11143</v>
      </c>
      <c r="C6">
        <v>14242</v>
      </c>
      <c r="D6">
        <f t="shared" si="0"/>
        <v>3099</v>
      </c>
      <c r="E6" s="10">
        <f t="shared" si="1"/>
        <v>0.21759584328043813</v>
      </c>
    </row>
    <row r="7" spans="1:5" x14ac:dyDescent="0.3">
      <c r="A7">
        <v>0.15</v>
      </c>
      <c r="B7">
        <v>11440</v>
      </c>
      <c r="C7">
        <v>14242</v>
      </c>
      <c r="D7">
        <f t="shared" si="0"/>
        <v>2802</v>
      </c>
      <c r="E7" s="10">
        <f t="shared" si="1"/>
        <v>0.19674203061367784</v>
      </c>
    </row>
    <row r="8" spans="1:5" x14ac:dyDescent="0.3">
      <c r="A8">
        <v>0.14000000000000001</v>
      </c>
      <c r="B8">
        <v>12826</v>
      </c>
      <c r="C8">
        <v>14242</v>
      </c>
      <c r="D8">
        <f t="shared" si="0"/>
        <v>1416</v>
      </c>
      <c r="E8" s="10">
        <f t="shared" si="1"/>
        <v>9.9424238168796517E-2</v>
      </c>
    </row>
    <row r="9" spans="1:5" x14ac:dyDescent="0.3">
      <c r="A9">
        <v>0.13</v>
      </c>
      <c r="B9">
        <v>13385</v>
      </c>
      <c r="C9">
        <v>14242</v>
      </c>
      <c r="D9">
        <f t="shared" si="0"/>
        <v>857</v>
      </c>
      <c r="E9" s="10">
        <f t="shared" si="1"/>
        <v>6.0174132846510318E-2</v>
      </c>
    </row>
    <row r="10" spans="1:5" x14ac:dyDescent="0.3">
      <c r="A10">
        <v>0.12</v>
      </c>
      <c r="B10">
        <v>13384</v>
      </c>
      <c r="C10">
        <v>14242</v>
      </c>
      <c r="D10">
        <f t="shared" si="0"/>
        <v>858</v>
      </c>
      <c r="E10" s="10">
        <f t="shared" si="1"/>
        <v>6.024434770397416E-2</v>
      </c>
    </row>
    <row r="11" spans="1:5" x14ac:dyDescent="0.3">
      <c r="A11">
        <v>0.11</v>
      </c>
      <c r="B11">
        <v>13384</v>
      </c>
      <c r="C11">
        <v>14242</v>
      </c>
      <c r="D11">
        <f t="shared" si="0"/>
        <v>858</v>
      </c>
      <c r="E11" s="10">
        <f t="shared" si="1"/>
        <v>6.024434770397416E-2</v>
      </c>
    </row>
    <row r="12" spans="1:5" x14ac:dyDescent="0.3">
      <c r="A12">
        <v>0.1</v>
      </c>
      <c r="B12">
        <v>13384</v>
      </c>
      <c r="C12">
        <v>14242</v>
      </c>
      <c r="D12">
        <f t="shared" si="0"/>
        <v>858</v>
      </c>
      <c r="E12" s="10">
        <f t="shared" si="1"/>
        <v>6.024434770397416E-2</v>
      </c>
    </row>
    <row r="13" spans="1:5" x14ac:dyDescent="0.3">
      <c r="A13">
        <v>0.09</v>
      </c>
      <c r="B13">
        <v>14005</v>
      </c>
      <c r="C13">
        <v>14242</v>
      </c>
      <c r="D13">
        <f t="shared" si="0"/>
        <v>237</v>
      </c>
      <c r="E13" s="10">
        <f t="shared" si="1"/>
        <v>1.6640921218929926E-2</v>
      </c>
    </row>
    <row r="14" spans="1:5" x14ac:dyDescent="0.3">
      <c r="A14">
        <v>0.08</v>
      </c>
      <c r="B14">
        <v>14211</v>
      </c>
      <c r="C14">
        <v>14242</v>
      </c>
      <c r="D14">
        <f t="shared" si="0"/>
        <v>31</v>
      </c>
      <c r="E14" s="10">
        <f t="shared" si="1"/>
        <v>2.17666058137902E-3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 Efficiency - Individual</vt:lpstr>
      <vt:lpstr>Comp Efficiency - Joint</vt:lpstr>
      <vt:lpstr>Value of DDU</vt:lpstr>
      <vt:lpstr>Number of MPS</vt:lpstr>
      <vt:lpstr>MPS Capacity</vt:lpstr>
      <vt:lpstr>Impact of C_j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Wenbo Ma</dc:creator>
  <cp:lastModifiedBy>Wenbo Ma</cp:lastModifiedBy>
  <dcterms:created xsi:type="dcterms:W3CDTF">2015-06-05T18:17:20Z</dcterms:created>
  <dcterms:modified xsi:type="dcterms:W3CDTF">2025-04-21T14:50:30Z</dcterms:modified>
</cp:coreProperties>
</file>